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ESDAWTY\GitFiles\Tools\DOWF\"/>
    </mc:Choice>
  </mc:AlternateContent>
  <xr:revisionPtr revIDLastSave="0" documentId="13_ncr:1_{C5F8B6A3-F120-4F1E-B82B-4C7D7CBEA3DE}" xr6:coauthVersionLast="47" xr6:coauthVersionMax="47" xr10:uidLastSave="{00000000-0000-0000-0000-000000000000}"/>
  <bookViews>
    <workbookView xWindow="-120" yWindow="-120" windowWidth="29040" windowHeight="15720" activeTab="2" xr2:uid="{7835A5D5-3BAA-4512-82BF-BA3541201E08}"/>
    <workbookView xWindow="1170" yWindow="615" windowWidth="16410" windowHeight="15585" activeTab="2" xr2:uid="{C925384A-6A95-48E4-A6F9-8A8C07A54B8F}"/>
  </bookViews>
  <sheets>
    <sheet name="WPs" sheetId="2" r:id="rId1"/>
    <sheet name="Tasks" sheetId="1" r:id="rId2"/>
    <sheet name="Dependencies" sheetId="3" r:id="rId3"/>
    <sheet name="Partners" sheetId="5" r:id="rId4"/>
    <sheet name="Statuses" sheetId="4" r:id="rId5"/>
    <sheet name="Ris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 a="1"/>
  <c r="H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Awty-Carroll, Danny</author>
  </authors>
  <commentList>
    <comment ref="B1" authorId="0" shapeId="0" xr:uid="{8EF351A7-357B-42DF-9D13-8C04A30638CE}">
      <text>
        <r>
          <rPr>
            <b/>
            <sz val="9"/>
            <color indexed="81"/>
            <rFont val="Tahoma"/>
            <family val="2"/>
          </rPr>
          <t xml:space="preserve">
Avoid theam colours.
Will read # colour first.</t>
        </r>
      </text>
    </comment>
    <comment ref="C1" authorId="0" shapeId="0" xr:uid="{3F007AC0-9B1A-4DFF-8AA9-9E1EFFBFB8EB}">
      <text>
        <r>
          <rPr>
            <b/>
            <sz val="9"/>
            <color indexed="81"/>
            <rFont val="Tahoma"/>
            <family val="2"/>
          </rPr>
          <t xml:space="preserve">
Avoid theam colours.
Will read # colour first.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Awty-Carroll, Danny</author>
  </authors>
  <commentList>
    <comment ref="B1" authorId="0" shapeId="0" xr:uid="{239E7196-8521-4627-9AA9-5C130BDB505D}">
      <text>
        <r>
          <rPr>
            <b/>
            <sz val="9"/>
            <color indexed="81"/>
            <rFont val="Tahoma"/>
            <family val="2"/>
          </rPr>
          <t xml:space="preserve">
Avoid theam colours.
Will read # colour first.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<sst xmlns="http://schemas.openxmlformats.org/spreadsheetml/2006/main" count="174" uniqueCount="93">
  <si>
    <t>Status</t>
  </si>
  <si>
    <t>Due</t>
  </si>
  <si>
    <t>Lead</t>
  </si>
  <si>
    <t>WP1</t>
  </si>
  <si>
    <t xml:space="preserve">Project Management </t>
  </si>
  <si>
    <t>D1.1</t>
  </si>
  <si>
    <t>Ongoing</t>
  </si>
  <si>
    <t>M1</t>
  </si>
  <si>
    <t>Not Started</t>
  </si>
  <si>
    <t>Done</t>
  </si>
  <si>
    <t>WP2</t>
  </si>
  <si>
    <t>Delayed</t>
  </si>
  <si>
    <t>Started</t>
  </si>
  <si>
    <t>M2</t>
  </si>
  <si>
    <t>WP3</t>
  </si>
  <si>
    <t>WP</t>
  </si>
  <si>
    <t>ID</t>
  </si>
  <si>
    <t>Title</t>
  </si>
  <si>
    <t>Progress</t>
  </si>
  <si>
    <t>Risks</t>
  </si>
  <si>
    <t>Notes</t>
  </si>
  <si>
    <t>Weather</t>
  </si>
  <si>
    <t>From</t>
  </si>
  <si>
    <t>To</t>
  </si>
  <si>
    <t>Start</t>
  </si>
  <si>
    <t>Partner</t>
  </si>
  <si>
    <t>NodeColour</t>
  </si>
  <si>
    <t>ClusterColour</t>
  </si>
  <si>
    <t>Contact</t>
  </si>
  <si>
    <t>Email</t>
  </si>
  <si>
    <t>Phone</t>
  </si>
  <si>
    <t>Address</t>
  </si>
  <si>
    <t>BorderColour</t>
  </si>
  <si>
    <t>Action</t>
  </si>
  <si>
    <t>Name</t>
  </si>
  <si>
    <t>Likelihood</t>
  </si>
  <si>
    <t>Mitigation</t>
  </si>
  <si>
    <t>Description</t>
  </si>
  <si>
    <t>Severity</t>
  </si>
  <si>
    <t>New_Severity</t>
  </si>
  <si>
    <t>New_Likelihood</t>
  </si>
  <si>
    <t>Cancelled</t>
  </si>
  <si>
    <t>LPD</t>
  </si>
  <si>
    <t>LLC</t>
  </si>
  <si>
    <t>Doing stuff</t>
  </si>
  <si>
    <t>Big Trials</t>
  </si>
  <si>
    <t>PLC</t>
  </si>
  <si>
    <t>#DC2626</t>
  </si>
  <si>
    <t>D1.2</t>
  </si>
  <si>
    <t>D2.1a</t>
  </si>
  <si>
    <t>D2.1b</t>
  </si>
  <si>
    <t>D2.1c</t>
  </si>
  <si>
    <t>D1.3</t>
  </si>
  <si>
    <t>D2.2a</t>
  </si>
  <si>
    <t>D2.2b</t>
  </si>
  <si>
    <t>D2.3a</t>
  </si>
  <si>
    <t>D2.3b</t>
  </si>
  <si>
    <t>LPD/LLC</t>
  </si>
  <si>
    <t>LLC/LPD/PLC</t>
  </si>
  <si>
    <t>Ongoing Project Management meeting between partners</t>
  </si>
  <si>
    <t>Updates to the Gannt chart</t>
  </si>
  <si>
    <t>Top tear teem work</t>
  </si>
  <si>
    <t>LLC/PLC</t>
  </si>
  <si>
    <t>Getting bogged down with administration</t>
  </si>
  <si>
    <t>Getting bogged down with finances</t>
  </si>
  <si>
    <t>Bits of stuff that need doing Q1</t>
  </si>
  <si>
    <t>Bits of stuff that need doing Q2</t>
  </si>
  <si>
    <t>PLC/LLC</t>
  </si>
  <si>
    <t>Working to fix big issues</t>
  </si>
  <si>
    <t>PLC/LPD</t>
  </si>
  <si>
    <t>Working on what to look at</t>
  </si>
  <si>
    <t>Working on what to sample</t>
  </si>
  <si>
    <t>Data from the big trial</t>
  </si>
  <si>
    <t>Getting on with research. Just the one partner</t>
  </si>
  <si>
    <t>Getting on with research. Two partners</t>
  </si>
  <si>
    <t>Getting on with research. All three partners</t>
  </si>
  <si>
    <t>Binging everything together in one place</t>
  </si>
  <si>
    <t>Trailing on a big site in summer</t>
  </si>
  <si>
    <t>Trailing on a big site in winter</t>
  </si>
  <si>
    <t>Not started</t>
  </si>
  <si>
    <t>delayed</t>
  </si>
  <si>
    <t>Weather;Logistics</t>
  </si>
  <si>
    <t>Logistics</t>
  </si>
  <si>
    <t>Ahh noo</t>
  </si>
  <si>
    <t>Its bad at the moment</t>
  </si>
  <si>
    <t>MS teams</t>
  </si>
  <si>
    <t>It will be better tomorrow</t>
  </si>
  <si>
    <t>We can't work together</t>
  </si>
  <si>
    <t>D3.1a</t>
  </si>
  <si>
    <t>D3.1b</t>
  </si>
  <si>
    <t>D3.2</t>
  </si>
  <si>
    <t>D3.3a</t>
  </si>
  <si>
    <t>D3.3b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</si>
</sst>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b/>
      <sz val="14"/>
      <color theme="1"/>
      <name val="Abadi"/>
      <family val="2"/>
    </font>
    <font>
      <sz val="14"/>
      <color theme="1"/>
      <name val="Abadi"/>
      <family val="2"/>
    </font>
    <font>
      <sz val="12"/>
      <color rgb="FFFFFFFF"/>
      <name val="Segoe UI"/>
      <family val="2"/>
    </font>
    <font>
      <sz val="11"/>
      <color rgb="FF569CD6"/>
      <name val="Consolas"/>
      <family val="3"/>
    </font>
    <font>
      <b/>
      <sz val="9"/>
      <color indexed="8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7316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00A2EA"/>
        <bgColor indexed="64"/>
      </patternFill>
    </fill>
    <fill>
      <patternFill patternType="solid">
        <fgColor rgb="FF16D054"/>
        <bgColor indexed="64"/>
      </patternFill>
    </fill>
    <fill>
      <patternFill patternType="solid">
        <fgColor rgb="FFBBF4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02DE3"/>
        <bgColor indexed="64"/>
      </patternFill>
    </fill>
    <fill>
      <patternFill patternType="solid">
        <fgColor rgb="FFBEB1F5"/>
        <bgColor indexed="64"/>
      </patternFill>
    </fill>
    <fill>
      <patternFill patternType="solid">
        <fgColor rgb="FF2FBF92"/>
        <bgColor indexed="64"/>
      </patternFill>
    </fill>
    <fill>
      <patternFill patternType="solid">
        <fgColor rgb="FFA0E8D2"/>
        <bgColor indexed="64"/>
      </patternFill>
    </fill>
    <fill>
      <patternFill patternType="solid">
        <fgColor rgb="FF85114B"/>
        <bgColor indexed="64"/>
      </patternFill>
    </fill>
    <fill>
      <patternFill patternType="solid">
        <fgColor rgb="FFF5ADD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0" borderId="10" xfId="0" applyFont="1" applyBorder="1" applyAlignment="1">
      <alignment vertical="center"/>
    </xf>
    <xf numFmtId="0" fontId="0" fillId="0" borderId="0" xfId="0" applyAlignment="1">
      <alignment horizontal="right"/>
    </xf>
    <xf numFmtId="0" fontId="16" fillId="0" borderId="11" xfId="0" applyFont="1" applyBorder="1"/>
    <xf numFmtId="0" fontId="0" fillId="0" borderId="11" xfId="0" applyBorder="1" applyAlignment="1">
      <alignment horizontal="right"/>
    </xf>
    <xf numFmtId="0" fontId="0" fillId="0" borderId="11" xfId="0" applyBorder="1"/>
    <xf numFmtId="14" fontId="0" fillId="0" borderId="11" xfId="0" applyNumberFormat="1" applyBorder="1" applyAlignment="1">
      <alignment horizontal="left"/>
    </xf>
    <xf numFmtId="0" fontId="16" fillId="0" borderId="12" xfId="0" applyFont="1" applyBorder="1"/>
    <xf numFmtId="0" fontId="0" fillId="0" borderId="12" xfId="0" applyBorder="1"/>
    <xf numFmtId="14" fontId="0" fillId="0" borderId="12" xfId="0" applyNumberFormat="1" applyBorder="1" applyAlignment="1">
      <alignment horizontal="left"/>
    </xf>
    <xf numFmtId="0" fontId="19" fillId="0" borderId="10" xfId="0" applyFont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vertical="center"/>
    </xf>
    <xf numFmtId="0" fontId="20" fillId="33" borderId="0" xfId="0" applyFont="1" applyFill="1"/>
    <xf numFmtId="0" fontId="20" fillId="34" borderId="0" xfId="0" applyFont="1" applyFill="1"/>
    <xf numFmtId="0" fontId="20" fillId="35" borderId="0" xfId="0" applyFont="1" applyFill="1"/>
    <xf numFmtId="0" fontId="20" fillId="36" borderId="0" xfId="0" applyFont="1" applyFill="1"/>
    <xf numFmtId="0" fontId="20" fillId="37" borderId="0" xfId="0" applyFont="1" applyFill="1"/>
    <xf numFmtId="0" fontId="20" fillId="38" borderId="0" xfId="0" applyFont="1" applyFill="1"/>
    <xf numFmtId="0" fontId="20" fillId="39" borderId="0" xfId="0" applyFont="1" applyFill="1"/>
    <xf numFmtId="0" fontId="20" fillId="40" borderId="0" xfId="0" applyFont="1" applyFill="1"/>
    <xf numFmtId="0" fontId="20" fillId="41" borderId="0" xfId="0" applyFont="1" applyFill="1"/>
    <xf numFmtId="0" fontId="20" fillId="42" borderId="0" xfId="0" applyFont="1" applyFill="1"/>
    <xf numFmtId="0" fontId="20" fillId="43" borderId="0" xfId="0" applyFont="1" applyFill="1"/>
    <xf numFmtId="0" fontId="20" fillId="44" borderId="0" xfId="0" applyFont="1" applyFill="1"/>
    <xf numFmtId="14" fontId="0" fillId="0" borderId="0" xfId="0" applyNumberFormat="1" applyAlignment="1">
      <alignment horizontal="left"/>
    </xf>
    <xf numFmtId="0" fontId="16" fillId="0" borderId="13" xfId="0" applyFont="1" applyBorder="1"/>
    <xf numFmtId="0" fontId="0" fillId="0" borderId="13" xfId="0" applyBorder="1"/>
    <xf numFmtId="14" fontId="0" fillId="0" borderId="13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5ADD1"/>
      <color rgb="FF85114B"/>
      <color rgb="FFA0E8D2"/>
      <color rgb="FF2FBF92"/>
      <color rgb="FFBEB1F5"/>
      <color rgb="FF502DE3"/>
      <color rgb="FFFFFFFF"/>
      <color rgb="FFBBF488"/>
      <color rgb="FF16D054"/>
      <color rgb="FF97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Color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3781-24EF-4153-A7C6-E02186D2563D}">
  <sheetPr codeName="Sheet1"/>
  <dimension ref="A1:C4"/>
  <sheetViews>
    <sheetView workbookViewId="0">
      <selection activeCell="C4" sqref="C2:C4"/>
    </sheetView>
    <sheetView workbookViewId="1"/>
  </sheetViews>
  <sheetFormatPr defaultRowHeight="15" x14ac:dyDescent="0.25"/>
  <cols>
    <col min="2" max="2" width="31.5703125" bestFit="1" customWidth="1"/>
  </cols>
  <sheetData>
    <row r="1" spans="1:3" x14ac:dyDescent="0.25">
      <c r="A1" s="2" t="s">
        <v>15</v>
      </c>
      <c r="B1" s="2" t="s">
        <v>17</v>
      </c>
      <c r="C1" s="2" t="s">
        <v>2</v>
      </c>
    </row>
    <row r="2" spans="1:3" x14ac:dyDescent="0.25">
      <c r="A2" t="s">
        <v>3</v>
      </c>
      <c r="B2" t="s">
        <v>4</v>
      </c>
      <c r="C2" t="s">
        <v>42</v>
      </c>
    </row>
    <row r="3" spans="1:3" x14ac:dyDescent="0.25">
      <c r="A3" t="s">
        <v>10</v>
      </c>
      <c r="B3" t="s">
        <v>44</v>
      </c>
      <c r="C3" t="s">
        <v>43</v>
      </c>
    </row>
    <row r="4" spans="1:3" x14ac:dyDescent="0.25">
      <c r="A4" t="s">
        <v>14</v>
      </c>
      <c r="B4" t="s">
        <v>45</v>
      </c>
      <c r="C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25D2-ADFD-4043-9E6D-815C45327058}">
  <sheetPr codeName="Sheet2"/>
  <dimension ref="A1:J18"/>
  <sheetViews>
    <sheetView zoomScale="85" zoomScaleNormal="85" workbookViewId="0">
      <pane ySplit="1" topLeftCell="A2" activePane="bottomLeft" state="frozen"/>
      <selection pane="bottomLeft" activeCell="H8" sqref="H8"/>
    </sheetView>
    <sheetView workbookViewId="1"/>
  </sheetViews>
  <sheetFormatPr defaultRowHeight="15" x14ac:dyDescent="0.25"/>
  <cols>
    <col min="1" max="1" width="9.140625" style="1"/>
    <col min="2" max="2" width="10.5703125" customWidth="1"/>
    <col min="3" max="3" width="79.140625" customWidth="1"/>
    <col min="4" max="4" width="18.140625" bestFit="1" customWidth="1"/>
    <col min="5" max="5" width="10.7109375" bestFit="1" customWidth="1"/>
    <col min="6" max="6" width="10.7109375" customWidth="1"/>
    <col min="7" max="8" width="10.85546875" bestFit="1" customWidth="1"/>
    <col min="10" max="10" width="22.5703125" bestFit="1" customWidth="1"/>
  </cols>
  <sheetData>
    <row r="1" spans="1:10" ht="16.5" x14ac:dyDescent="0.25">
      <c r="A1" s="2" t="s">
        <v>15</v>
      </c>
      <c r="B1" s="2" t="s">
        <v>16</v>
      </c>
      <c r="C1" s="3" t="s">
        <v>17</v>
      </c>
      <c r="D1" s="3" t="s">
        <v>2</v>
      </c>
      <c r="E1" s="3" t="s">
        <v>0</v>
      </c>
      <c r="F1" s="3" t="s">
        <v>18</v>
      </c>
      <c r="G1" s="3" t="s">
        <v>24</v>
      </c>
      <c r="H1" s="3" t="s">
        <v>1</v>
      </c>
      <c r="I1" s="3" t="s">
        <v>20</v>
      </c>
      <c r="J1" s="3" t="s">
        <v>19</v>
      </c>
    </row>
    <row r="2" spans="1:10" s="10" customFormat="1" x14ac:dyDescent="0.25">
      <c r="A2" s="9" t="s">
        <v>3</v>
      </c>
      <c r="B2" s="10" t="s">
        <v>5</v>
      </c>
      <c r="C2" s="10" t="s">
        <v>60</v>
      </c>
      <c r="D2" t="s">
        <v>42</v>
      </c>
      <c r="E2" s="10" t="s">
        <v>9</v>
      </c>
      <c r="F2" s="10">
        <v>100</v>
      </c>
      <c r="G2" s="11">
        <v>46023</v>
      </c>
      <c r="H2" s="11">
        <v>46052</v>
      </c>
    </row>
    <row r="3" spans="1:10" s="10" customFormat="1" x14ac:dyDescent="0.25">
      <c r="A3" s="9" t="s">
        <v>3</v>
      </c>
      <c r="B3" s="10" t="s">
        <v>48</v>
      </c>
      <c r="C3" s="10" t="s">
        <v>61</v>
      </c>
      <c r="D3" t="s">
        <v>57</v>
      </c>
      <c r="E3" s="10" t="s">
        <v>12</v>
      </c>
      <c r="F3" s="10">
        <v>40</v>
      </c>
      <c r="G3" s="11">
        <v>46054</v>
      </c>
      <c r="H3" s="11">
        <v>46111</v>
      </c>
      <c r="J3" s="10" t="s">
        <v>82</v>
      </c>
    </row>
    <row r="4" spans="1:10" s="36" customFormat="1" ht="15.75" thickBot="1" x14ac:dyDescent="0.3">
      <c r="A4" s="35" t="s">
        <v>3</v>
      </c>
      <c r="B4" s="36" t="s">
        <v>52</v>
      </c>
      <c r="C4" s="36" t="s">
        <v>59</v>
      </c>
      <c r="D4" s="36" t="s">
        <v>58</v>
      </c>
      <c r="E4" s="36" t="s">
        <v>6</v>
      </c>
      <c r="F4" s="36">
        <v>30</v>
      </c>
      <c r="G4" s="37">
        <v>46113</v>
      </c>
      <c r="H4" s="37">
        <v>46203</v>
      </c>
    </row>
    <row r="5" spans="1:10" s="10" customFormat="1" x14ac:dyDescent="0.25">
      <c r="A5" s="9" t="s">
        <v>10</v>
      </c>
      <c r="B5" s="10" t="s">
        <v>49</v>
      </c>
      <c r="C5" s="10" t="s">
        <v>73</v>
      </c>
      <c r="D5" s="10" t="s">
        <v>43</v>
      </c>
      <c r="E5" s="10" t="s">
        <v>9</v>
      </c>
      <c r="F5" s="10">
        <v>100</v>
      </c>
      <c r="G5" s="11">
        <v>46054</v>
      </c>
      <c r="H5" s="11">
        <v>46111</v>
      </c>
    </row>
    <row r="6" spans="1:10" s="10" customFormat="1" x14ac:dyDescent="0.25">
      <c r="A6" s="9" t="s">
        <v>10</v>
      </c>
      <c r="B6" s="10" t="s">
        <v>50</v>
      </c>
      <c r="C6" s="10" t="s">
        <v>74</v>
      </c>
      <c r="D6" s="10" t="s">
        <v>62</v>
      </c>
      <c r="E6" s="10" t="s">
        <v>11</v>
      </c>
      <c r="F6" s="10">
        <v>15</v>
      </c>
      <c r="G6" s="11">
        <v>46023</v>
      </c>
      <c r="H6" s="11">
        <v>46142</v>
      </c>
    </row>
    <row r="7" spans="1:10" s="10" customFormat="1" x14ac:dyDescent="0.25">
      <c r="A7" s="9" t="s">
        <v>10</v>
      </c>
      <c r="B7" s="10" t="s">
        <v>51</v>
      </c>
      <c r="C7" s="10" t="s">
        <v>75</v>
      </c>
      <c r="D7" s="10" t="s">
        <v>58</v>
      </c>
      <c r="E7" s="10" t="s">
        <v>41</v>
      </c>
      <c r="F7" s="10">
        <v>0</v>
      </c>
      <c r="G7" s="11">
        <v>46082</v>
      </c>
      <c r="H7" s="11">
        <v>46172</v>
      </c>
      <c r="I7" s="10" t="s">
        <v>83</v>
      </c>
      <c r="J7" s="10" t="s">
        <v>82</v>
      </c>
    </row>
    <row r="8" spans="1:10" s="10" customFormat="1" x14ac:dyDescent="0.25">
      <c r="A8" s="9" t="s">
        <v>10</v>
      </c>
      <c r="B8" s="10" t="s">
        <v>53</v>
      </c>
      <c r="C8" s="10" t="s">
        <v>63</v>
      </c>
      <c r="D8" s="10" t="s">
        <v>43</v>
      </c>
      <c r="E8" s="10" t="s">
        <v>8</v>
      </c>
      <c r="F8" s="10">
        <v>0</v>
      </c>
      <c r="G8" s="11">
        <v>46113</v>
      </c>
      <c r="H8" s="11">
        <v>46172</v>
      </c>
    </row>
    <row r="9" spans="1:10" s="10" customFormat="1" x14ac:dyDescent="0.25">
      <c r="A9" s="9" t="s">
        <v>10</v>
      </c>
      <c r="B9" s="10" t="s">
        <v>54</v>
      </c>
      <c r="C9" s="10" t="s">
        <v>64</v>
      </c>
      <c r="D9" s="10" t="s">
        <v>43</v>
      </c>
      <c r="E9" s="10" t="s">
        <v>79</v>
      </c>
      <c r="F9" s="10">
        <v>0</v>
      </c>
      <c r="G9" s="11">
        <v>46143</v>
      </c>
      <c r="H9" s="11">
        <v>46233</v>
      </c>
    </row>
    <row r="10" spans="1:10" s="10" customFormat="1" x14ac:dyDescent="0.25">
      <c r="A10" s="9" t="s">
        <v>10</v>
      </c>
      <c r="B10" s="10" t="s">
        <v>55</v>
      </c>
      <c r="C10" s="10" t="s">
        <v>65</v>
      </c>
      <c r="D10" s="10" t="s">
        <v>46</v>
      </c>
      <c r="E10" s="10" t="s">
        <v>12</v>
      </c>
      <c r="F10" s="10">
        <v>40</v>
      </c>
      <c r="G10" s="11">
        <v>46174</v>
      </c>
      <c r="H10" s="11">
        <v>46264</v>
      </c>
    </row>
    <row r="11" spans="1:10" x14ac:dyDescent="0.25">
      <c r="A11" s="1" t="s">
        <v>10</v>
      </c>
      <c r="B11" t="s">
        <v>56</v>
      </c>
      <c r="C11" t="s">
        <v>66</v>
      </c>
      <c r="D11" t="s">
        <v>46</v>
      </c>
      <c r="E11" t="s">
        <v>80</v>
      </c>
      <c r="F11">
        <v>50</v>
      </c>
      <c r="G11" s="34">
        <v>46235</v>
      </c>
      <c r="H11" s="34">
        <v>46336</v>
      </c>
    </row>
    <row r="12" spans="1:10" s="7" customFormat="1" ht="15.75" thickBot="1" x14ac:dyDescent="0.3">
      <c r="A12" s="5" t="s">
        <v>10</v>
      </c>
      <c r="B12" s="6" t="s">
        <v>7</v>
      </c>
      <c r="C12" s="7" t="s">
        <v>76</v>
      </c>
      <c r="D12" s="7" t="s">
        <v>43</v>
      </c>
      <c r="E12" s="7" t="s">
        <v>8</v>
      </c>
      <c r="F12" s="7">
        <v>0</v>
      </c>
      <c r="G12" s="8">
        <v>46174</v>
      </c>
      <c r="H12" s="8">
        <v>46356</v>
      </c>
    </row>
    <row r="13" spans="1:10" s="10" customFormat="1" x14ac:dyDescent="0.25">
      <c r="A13" s="9" t="s">
        <v>14</v>
      </c>
      <c r="B13" s="10" t="s">
        <v>88</v>
      </c>
      <c r="C13" s="10" t="s">
        <v>77</v>
      </c>
      <c r="D13" s="10" t="s">
        <v>46</v>
      </c>
      <c r="E13" s="10" t="s">
        <v>12</v>
      </c>
      <c r="F13" s="10">
        <v>30</v>
      </c>
      <c r="G13" s="11">
        <v>46174</v>
      </c>
      <c r="H13" s="11">
        <v>46295</v>
      </c>
      <c r="J13" s="10" t="s">
        <v>21</v>
      </c>
    </row>
    <row r="14" spans="1:10" s="10" customFormat="1" x14ac:dyDescent="0.25">
      <c r="A14" s="9" t="s">
        <v>14</v>
      </c>
      <c r="B14" s="10" t="s">
        <v>89</v>
      </c>
      <c r="C14" s="10" t="s">
        <v>78</v>
      </c>
      <c r="D14" s="10" t="s">
        <v>46</v>
      </c>
      <c r="E14" s="10" t="s">
        <v>79</v>
      </c>
      <c r="F14" s="10">
        <v>0</v>
      </c>
      <c r="G14" s="11">
        <v>46296</v>
      </c>
      <c r="H14" s="11">
        <v>46386</v>
      </c>
      <c r="J14" s="10" t="s">
        <v>81</v>
      </c>
    </row>
    <row r="15" spans="1:10" s="10" customFormat="1" x14ac:dyDescent="0.25">
      <c r="A15" s="9" t="s">
        <v>14</v>
      </c>
      <c r="B15" s="10" t="s">
        <v>90</v>
      </c>
      <c r="C15" s="10" t="s">
        <v>68</v>
      </c>
      <c r="D15" s="10" t="s">
        <v>67</v>
      </c>
      <c r="E15" s="10" t="s">
        <v>11</v>
      </c>
      <c r="F15" s="10">
        <v>60</v>
      </c>
      <c r="G15" s="11">
        <v>46235</v>
      </c>
      <c r="H15" s="11">
        <v>46295</v>
      </c>
    </row>
    <row r="16" spans="1:10" s="10" customFormat="1" x14ac:dyDescent="0.25">
      <c r="A16" s="9" t="s">
        <v>14</v>
      </c>
      <c r="B16" s="10" t="s">
        <v>91</v>
      </c>
      <c r="C16" s="10" t="s">
        <v>70</v>
      </c>
      <c r="D16" s="10" t="s">
        <v>69</v>
      </c>
      <c r="E16" s="10" t="s">
        <v>11</v>
      </c>
      <c r="F16" s="10">
        <v>20</v>
      </c>
      <c r="G16" s="11">
        <v>46204</v>
      </c>
      <c r="H16" s="11">
        <v>46264</v>
      </c>
    </row>
    <row r="17" spans="1:10" x14ac:dyDescent="0.25">
      <c r="A17" s="1" t="s">
        <v>14</v>
      </c>
      <c r="B17" t="s">
        <v>92</v>
      </c>
      <c r="C17" t="s">
        <v>71</v>
      </c>
      <c r="D17" t="s">
        <v>46</v>
      </c>
      <c r="E17" t="s">
        <v>79</v>
      </c>
      <c r="F17">
        <v>0</v>
      </c>
      <c r="G17" s="34">
        <v>46266</v>
      </c>
      <c r="H17" s="34">
        <v>46325</v>
      </c>
    </row>
    <row r="18" spans="1:10" s="7" customFormat="1" ht="15.75" thickBot="1" x14ac:dyDescent="0.3">
      <c r="A18" s="5" t="s">
        <v>14</v>
      </c>
      <c r="B18" s="6" t="s">
        <v>13</v>
      </c>
      <c r="C18" s="7" t="s">
        <v>72</v>
      </c>
      <c r="D18" s="7" t="s">
        <v>46</v>
      </c>
      <c r="E18" s="7" t="s">
        <v>8</v>
      </c>
      <c r="F18" s="7">
        <v>0</v>
      </c>
      <c r="G18" s="8">
        <v>46296</v>
      </c>
      <c r="H18" s="8">
        <v>46356</v>
      </c>
      <c r="J18" s="7" t="s">
        <v>82</v>
      </c>
    </row>
  </sheetData>
  <conditionalFormatting sqref="E2:E18">
    <cfRule type="cellIs" dxfId="3" priority="1" operator="equal">
      <formula>"Started"</formula>
    </cfRule>
    <cfRule type="cellIs" dxfId="2" priority="2" operator="equal">
      <formula>"Delayed"</formula>
    </cfRule>
    <cfRule type="cellIs" dxfId="1" priority="3" operator="equal">
      <formula>"Ongoing"</formula>
    </cfRule>
    <cfRule type="cellIs" dxfId="0" priority="4" operator="equal">
      <formula>"Done"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536B-3028-476F-9A37-FE559274A554}">
  <sheetPr codeName="Sheet3"/>
  <dimension ref="A1:B33"/>
  <sheetViews>
    <sheetView tabSelected="1" workbookViewId="0">
      <selection activeCell="W8" sqref="W8"/>
    </sheetView>
    <sheetView tabSelected="1" workbookViewId="1">
      <selection activeCell="D10" sqref="D10"/>
    </sheetView>
  </sheetViews>
  <sheetFormatPr defaultRowHeight="15" x14ac:dyDescent="0.25"/>
  <sheetData>
    <row r="1" spans="1:2" ht="16.5" x14ac:dyDescent="0.25">
      <c r="A1" s="3" t="s">
        <v>22</v>
      </c>
      <c r="B1" s="3" t="s">
        <v>23</v>
      </c>
    </row>
    <row r="2" spans="1:2" x14ac:dyDescent="0.25">
      <c r="A2" t="s">
        <v>5</v>
      </c>
      <c r="B2" t="s">
        <v>48</v>
      </c>
    </row>
    <row r="3" spans="1:2" x14ac:dyDescent="0.25">
      <c r="A3" t="s">
        <v>52</v>
      </c>
      <c r="B3" t="s">
        <v>51</v>
      </c>
    </row>
    <row r="4" spans="1:2" x14ac:dyDescent="0.25">
      <c r="A4" t="s">
        <v>48</v>
      </c>
      <c r="B4" t="s">
        <v>52</v>
      </c>
    </row>
    <row r="5" spans="1:2" x14ac:dyDescent="0.25">
      <c r="A5" t="s">
        <v>49</v>
      </c>
      <c r="B5" t="s">
        <v>50</v>
      </c>
    </row>
    <row r="6" spans="1:2" x14ac:dyDescent="0.25">
      <c r="A6" t="s">
        <v>50</v>
      </c>
      <c r="B6" t="s">
        <v>51</v>
      </c>
    </row>
    <row r="7" spans="1:2" x14ac:dyDescent="0.25">
      <c r="A7" t="s">
        <v>53</v>
      </c>
      <c r="B7" t="s">
        <v>54</v>
      </c>
    </row>
    <row r="8" spans="1:2" x14ac:dyDescent="0.25">
      <c r="A8" t="s">
        <v>55</v>
      </c>
      <c r="B8" t="s">
        <v>56</v>
      </c>
    </row>
    <row r="9" spans="1:2" x14ac:dyDescent="0.25">
      <c r="A9" t="s">
        <v>88</v>
      </c>
      <c r="B9" t="s">
        <v>89</v>
      </c>
    </row>
    <row r="10" spans="1:2" x14ac:dyDescent="0.25">
      <c r="A10" t="s">
        <v>91</v>
      </c>
      <c r="B10" t="s">
        <v>92</v>
      </c>
    </row>
    <row r="11" spans="1:2" x14ac:dyDescent="0.25">
      <c r="A11" t="s">
        <v>90</v>
      </c>
      <c r="B11" s="4" t="s">
        <v>13</v>
      </c>
    </row>
    <row r="12" spans="1:2" x14ac:dyDescent="0.25">
      <c r="A12" t="s">
        <v>92</v>
      </c>
      <c r="B12" s="4" t="s">
        <v>13</v>
      </c>
    </row>
    <row r="13" spans="1:2" x14ac:dyDescent="0.25">
      <c r="A13" t="s">
        <v>56</v>
      </c>
      <c r="B13" t="s">
        <v>7</v>
      </c>
    </row>
    <row r="14" spans="1:2" x14ac:dyDescent="0.25">
      <c r="A14" t="s">
        <v>54</v>
      </c>
      <c r="B14" t="s">
        <v>7</v>
      </c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32" spans="2:2" x14ac:dyDescent="0.25">
      <c r="B32" s="4"/>
    </row>
    <row r="33" spans="2:2" x14ac:dyDescent="0.25">
      <c r="B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75FB-CCEA-459D-A08C-BE60257D5F62}">
  <sheetPr codeName="Sheet5"/>
  <dimension ref="A1:H4"/>
  <sheetViews>
    <sheetView workbookViewId="0">
      <selection activeCell="D8" sqref="D8"/>
    </sheetView>
    <sheetView workbookViewId="1"/>
  </sheetViews>
  <sheetFormatPr defaultColWidth="9.28515625" defaultRowHeight="15" x14ac:dyDescent="0.25"/>
  <cols>
    <col min="1" max="1" width="20.140625" style="1" customWidth="1"/>
    <col min="2" max="2" width="15.85546875" bestFit="1" customWidth="1"/>
    <col min="3" max="3" width="18.140625" bestFit="1" customWidth="1"/>
    <col min="4" max="6" width="18.140625" customWidth="1"/>
    <col min="7" max="7" width="24.7109375" customWidth="1"/>
  </cols>
  <sheetData>
    <row r="1" spans="1:8" ht="20.25" x14ac:dyDescent="0.25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</row>
    <row r="2" spans="1:8" ht="20.25" x14ac:dyDescent="0.35">
      <c r="A2" s="13" t="s">
        <v>42</v>
      </c>
      <c r="B2" s="28"/>
      <c r="C2" s="29"/>
      <c r="D2" s="14"/>
      <c r="E2" s="14"/>
      <c r="F2" s="14"/>
      <c r="G2" s="14"/>
      <c r="H2" s="20" t="e" cm="1" vm="1">
        <f t="array" aca="1" ref="H2" ca="1">_FV(_FV(Range("A1:A6"),"Interior"),"Color") = RGB(127,187,199)</f>
        <v>#VALUE!</v>
      </c>
    </row>
    <row r="3" spans="1:8" ht="20.25" x14ac:dyDescent="0.35">
      <c r="A3" s="13" t="s">
        <v>43</v>
      </c>
      <c r="B3" s="30"/>
      <c r="C3" s="31"/>
      <c r="D3" s="14"/>
      <c r="E3" s="14"/>
      <c r="F3" s="14"/>
      <c r="G3" s="14"/>
    </row>
    <row r="4" spans="1:8" ht="20.25" x14ac:dyDescent="0.35">
      <c r="A4" s="13" t="s">
        <v>46</v>
      </c>
      <c r="B4" s="32"/>
      <c r="C4" s="33"/>
      <c r="D4" s="14"/>
      <c r="E4" s="14"/>
      <c r="F4" s="14"/>
      <c r="G4" s="1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C5FA-0656-4F2F-95EF-A531E1A867DB}">
  <sheetPr codeName="Sheet4"/>
  <dimension ref="A1:C7"/>
  <sheetViews>
    <sheetView workbookViewId="0">
      <selection activeCell="C15" sqref="C15"/>
    </sheetView>
    <sheetView workbookViewId="1"/>
  </sheetViews>
  <sheetFormatPr defaultRowHeight="15" x14ac:dyDescent="0.25"/>
  <cols>
    <col min="1" max="1" width="13.7109375" bestFit="1" customWidth="1"/>
    <col min="2" max="2" width="17.85546875" bestFit="1" customWidth="1"/>
    <col min="3" max="3" width="32.28515625" customWidth="1"/>
  </cols>
  <sheetData>
    <row r="1" spans="1:3" ht="20.25" x14ac:dyDescent="0.25">
      <c r="A1" s="15" t="s">
        <v>0</v>
      </c>
      <c r="B1" s="15" t="s">
        <v>32</v>
      </c>
      <c r="C1" s="15" t="s">
        <v>33</v>
      </c>
    </row>
    <row r="2" spans="1:3" ht="21" customHeight="1" x14ac:dyDescent="0.35">
      <c r="A2" s="21" t="s">
        <v>6</v>
      </c>
      <c r="B2" s="24"/>
      <c r="C2" s="14"/>
    </row>
    <row r="3" spans="1:3" ht="21" customHeight="1" x14ac:dyDescent="0.35">
      <c r="A3" s="21" t="s">
        <v>12</v>
      </c>
      <c r="B3" s="26"/>
      <c r="C3" s="14"/>
    </row>
    <row r="4" spans="1:3" ht="21" customHeight="1" x14ac:dyDescent="0.35">
      <c r="A4" s="21" t="s">
        <v>9</v>
      </c>
      <c r="B4" s="25"/>
      <c r="C4" s="14"/>
    </row>
    <row r="5" spans="1:3" ht="21" customHeight="1" x14ac:dyDescent="0.35">
      <c r="A5" s="21" t="s">
        <v>11</v>
      </c>
      <c r="B5" s="22"/>
    </row>
    <row r="6" spans="1:3" ht="21" customHeight="1" x14ac:dyDescent="0.35">
      <c r="A6" s="21" t="s">
        <v>41</v>
      </c>
      <c r="B6" s="23" t="s">
        <v>47</v>
      </c>
    </row>
    <row r="7" spans="1:3" ht="21" customHeight="1" x14ac:dyDescent="0.35">
      <c r="A7" s="21" t="s">
        <v>8</v>
      </c>
      <c r="B7" s="27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051B-FCFA-4AAC-B30D-F321DFB80DDA}">
  <sheetPr codeName="Sheet6"/>
  <dimension ref="A1:G5"/>
  <sheetViews>
    <sheetView workbookViewId="0">
      <selection activeCell="F6" sqref="F6"/>
    </sheetView>
    <sheetView workbookViewId="1"/>
  </sheetViews>
  <sheetFormatPr defaultRowHeight="15" x14ac:dyDescent="0.25"/>
  <cols>
    <col min="1" max="1" width="13" style="17" customWidth="1"/>
    <col min="2" max="2" width="44" style="17" customWidth="1"/>
    <col min="3" max="3" width="11" style="17" bestFit="1" customWidth="1"/>
    <col min="4" max="4" width="14.140625" style="17" bestFit="1" customWidth="1"/>
    <col min="5" max="5" width="27.85546875" style="17" customWidth="1"/>
    <col min="6" max="6" width="17.85546875" style="17" bestFit="1" customWidth="1"/>
    <col min="7" max="7" width="20.85546875" style="17" bestFit="1" customWidth="1"/>
    <col min="8" max="16384" width="9.140625" style="17"/>
  </cols>
  <sheetData>
    <row r="1" spans="1:7" ht="20.25" x14ac:dyDescent="0.25">
      <c r="A1" s="16" t="s">
        <v>34</v>
      </c>
      <c r="B1" s="16" t="s">
        <v>37</v>
      </c>
      <c r="C1" s="16" t="s">
        <v>38</v>
      </c>
      <c r="D1" s="16" t="s">
        <v>35</v>
      </c>
      <c r="E1" s="16" t="s">
        <v>36</v>
      </c>
      <c r="F1" s="16" t="s">
        <v>39</v>
      </c>
      <c r="G1" s="16" t="s">
        <v>40</v>
      </c>
    </row>
    <row r="2" spans="1:7" ht="20.25" x14ac:dyDescent="0.35">
      <c r="A2" s="18" t="s">
        <v>82</v>
      </c>
      <c r="B2" s="19" t="s">
        <v>87</v>
      </c>
      <c r="C2" s="19">
        <v>3</v>
      </c>
      <c r="D2" s="19">
        <v>1</v>
      </c>
      <c r="E2" s="19" t="s">
        <v>85</v>
      </c>
      <c r="F2" s="19">
        <v>2</v>
      </c>
      <c r="G2" s="19">
        <v>1</v>
      </c>
    </row>
    <row r="3" spans="1:7" ht="40.5" x14ac:dyDescent="0.35">
      <c r="A3" s="18" t="s">
        <v>21</v>
      </c>
      <c r="B3" s="19" t="s">
        <v>84</v>
      </c>
      <c r="C3" s="19">
        <v>2</v>
      </c>
      <c r="D3" s="19">
        <v>3</v>
      </c>
      <c r="E3" s="19" t="s">
        <v>86</v>
      </c>
      <c r="F3" s="19">
        <v>1</v>
      </c>
      <c r="G3" s="19">
        <v>2</v>
      </c>
    </row>
    <row r="4" spans="1:7" ht="20.25" x14ac:dyDescent="0.35">
      <c r="A4" s="18"/>
      <c r="B4" s="19"/>
      <c r="C4" s="19"/>
      <c r="D4" s="19"/>
      <c r="E4" s="19"/>
      <c r="F4" s="19"/>
      <c r="G4" s="19"/>
    </row>
    <row r="5" spans="1:7" ht="20.25" x14ac:dyDescent="0.35">
      <c r="A5" s="18"/>
      <c r="B5" s="19"/>
      <c r="C5" s="19"/>
      <c r="D5" s="19"/>
      <c r="E5" s="19"/>
      <c r="F5" s="19"/>
      <c r="G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WPs</vt:lpstr>
      <vt:lpstr>Tasks</vt:lpstr>
      <vt:lpstr>Dependencies</vt:lpstr>
      <vt:lpstr>Partners</vt:lpstr>
      <vt:lpstr>Statuses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Awty-Carroll, Danny</cp:lastModifiedBy>
  <dcterms:created xsi:type="dcterms:W3CDTF">2026-10-15T10:29:23Z</dcterms:created>
  <dcterms:modified xsi:type="dcterms:W3CDTF">2026-10-16T13:13:42Z</dcterms:modified>
</cp:coreProperties>
</file>